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Summary" sheetId="2" state="visible" r:id="rId2"/>
    <sheet name="Fight Recommendations" sheetId="3" state="visible" r:id="rId3"/>
    <sheet name="Value Board" sheetId="4" state="visible" r:id="rId4"/>
    <sheet name="Best Lines" sheetId="5" state="visible" r:id="rId5"/>
    <sheet name="Top Matchups" sheetId="6" state="visible" r:id="rId6"/>
    <sheet name="Predictions" sheetId="7" state="visible" r:id="rId7"/>
    <sheet name="Odds Board" sheetId="8" state="visible" r:id="rId8"/>
    <sheet name="Chart Data" sheetId="9" state="hidden" r:id="rId9"/>
    <sheet name="Charts" sheetId="10" state="visible" r:id="rId10"/>
  </sheets>
  <definedNames>
    <definedName name="_xlnm._FilterDatabase" localSheetId="1" hidden="1">'Summary'!$A$1:$B$18</definedName>
    <definedName name="_xlnm._FilterDatabase" localSheetId="2" hidden="1">'Fight Recommendations'!$A$1:$AA$3</definedName>
    <definedName name="_xlnm._FilterDatabase" localSheetId="3" hidden="1">'Value Board'!$A$1:$AA$9</definedName>
    <definedName name="_xlnm._FilterDatabase" localSheetId="4" hidden="1">'Best Lines'!$A$1:$O$5</definedName>
    <definedName name="_xlnm._FilterDatabase" localSheetId="5" hidden="1">'Top Matchups'!$A$1:$AA$3</definedName>
    <definedName name="_xlnm._FilterDatabase" localSheetId="6" hidden="1">'Predictions'!$A$1:$M$3</definedName>
    <definedName name="_xlnm._FilterDatabase" localSheetId="7" hidden="1">'Odds Board'!$A$1:$F$9</definedName>
  </definedNames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.00;[Red]-$#,##0.00"/>
    <numFmt numFmtId="166" formatCode="0.000"/>
  </numFmts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Confidence Stake By Fight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Data'!B1</f>
            </strRef>
          </tx>
          <spPr>
            <a:ln>
              <a:prstDash val="solid"/>
            </a:ln>
          </spPr>
          <cat>
            <numRef>
              <f>'Chart Data'!$A$2:$A$3</f>
            </numRef>
          </cat>
          <val>
            <numRef>
              <f>'Chart Data'!$B$2:$B$3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Stake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Expected Profit By Fight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Data'!C1</f>
            </strRef>
          </tx>
          <spPr>
            <a:ln>
              <a:prstDash val="solid"/>
            </a:ln>
          </spPr>
          <cat>
            <numRef>
              <f>'Chart Data'!$A$2:$A$3</f>
            </numRef>
          </cat>
          <val>
            <numRef>
              <f>'Chart Data'!$C$2:$C$3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Expected Profit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Model Edge By Fight Pick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Data'!D1</f>
            </strRef>
          </tx>
          <spPr>
            <a:ln>
              <a:prstDash val="solid"/>
            </a:ln>
          </spPr>
          <cat>
            <numRef>
              <f>'Chart Data'!$A$2:$A$3</f>
            </numRef>
          </cat>
          <val>
            <numRef>
              <f>'Chart Data'!$D$2:$D$3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Fight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Edge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4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Top Value Candidate EV Per Dollar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Data'!B6</f>
            </strRef>
          </tx>
          <spPr>
            <a:ln>
              <a:prstDash val="solid"/>
            </a:ln>
          </spPr>
          <cat>
            <numRef>
              <f>'Chart Data'!$A$7:$A$9</f>
            </numRef>
          </cat>
          <val>
            <numRef>
              <f>'Chart Data'!$B$7:$B$9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Line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EV/$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5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Recommended Kelly Stake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Data'!C6</f>
            </strRef>
          </tx>
          <spPr>
            <a:ln>
              <a:prstDash val="solid"/>
            </a:ln>
          </spPr>
          <cat>
            <numRef>
              <f>'Chart Data'!$A$7:$A$9</f>
            </numRef>
          </cat>
          <val>
            <numRef>
              <f>'Chart Data'!$C$7:$C$9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Line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Stake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6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Lines By Risk Label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'Chart Data'!B13</f>
            </strRef>
          </tx>
          <spPr>
            <a:ln>
              <a:prstDash val="solid"/>
            </a:ln>
          </spPr>
          <cat>
            <numRef>
              <f>'Chart Data'!$A$14:$A$16</f>
            </numRef>
          </cat>
          <val>
            <numRef>
              <f>'Chart Data'!$B$14:$B$16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Risk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Lines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Relationship Type="http://schemas.openxmlformats.org/officeDocument/2006/relationships/chart" Target="/xl/charts/chart4.xml" Id="rId4" /><Relationship Type="http://schemas.openxmlformats.org/officeDocument/2006/relationships/chart" Target="/xl/charts/chart5.xml" Id="rId5" /><Relationship Type="http://schemas.openxmlformats.org/officeDocument/2006/relationships/chart" Target="/xl/charts/chart6.xml" Id="rId6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648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3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21</row>
      <rowOff>0</rowOff>
    </from>
    <ext cx="6480000" cy="324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  <oneCellAnchor>
    <from>
      <col>9</col>
      <colOff>0</colOff>
      <row>21</row>
      <rowOff>0</rowOff>
    </from>
    <ext cx="6480000" cy="3240000"/>
    <graphicFrame>
      <nvGraphicFramePr>
        <cNvPr id="4" name="Chart 4"/>
        <cNvGraphicFramePr/>
      </nvGraphicFramePr>
      <xfrm/>
      <a:graphic>
        <a:graphicData uri="http://schemas.openxmlformats.org/drawingml/2006/chart">
          <c:chart r:id="rId4"/>
        </a:graphicData>
      </a:graphic>
    </graphicFrame>
    <clientData/>
  </oneCellAnchor>
  <oneCellAnchor>
    <from>
      <col>0</col>
      <colOff>0</colOff>
      <row>39</row>
      <rowOff>0</rowOff>
    </from>
    <ext cx="6480000" cy="3240000"/>
    <graphicFrame>
      <nvGraphicFramePr>
        <cNvPr id="5" name="Chart 5"/>
        <cNvGraphicFramePr/>
      </nvGraphicFramePr>
      <xfrm/>
      <a:graphic>
        <a:graphicData uri="http://schemas.openxmlformats.org/drawingml/2006/chart">
          <c:chart r:id="rId5"/>
        </a:graphicData>
      </a:graphic>
    </graphicFrame>
    <clientData/>
  </oneCellAnchor>
  <oneCellAnchor>
    <from>
      <col>9</col>
      <colOff>0</colOff>
      <row>39</row>
      <rowOff>0</rowOff>
    </from>
    <ext cx="6480000" cy="3240000"/>
    <graphicFrame>
      <nvGraphicFramePr>
        <cNvPr id="6" name="Chart 6"/>
        <cNvGraphicFramePr/>
      </nvGraphicFramePr>
      <xfrm/>
      <a:graphic>
        <a:graphicData uri="http://schemas.openxmlformats.org/drawingml/2006/chart">
          <c:chart r:id="rId6"/>
        </a:graphicData>
      </a:graphic>
    </graphicFrame>
    <clientData/>
  </oneCellAnchor>
</wsDr>
</file>

<file path=xl/tables/table1.xml><?xml version="1.0" encoding="utf-8"?>
<table xmlns="http://schemas.openxmlformats.org/spreadsheetml/2006/main" id="1" name="BettingSummaryTable" displayName="BettingSummaryTable" ref="A1:B18" headerRowCount="1">
  <autoFilter ref="A1:B18"/>
  <tableColumns count="2">
    <tableColumn id="1" name="Metric"/>
    <tableColumn id="2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FightRecommendationsTable" displayName="FightRecommendationsTable" ref="A1:AA3" headerRowCount="1">
  <autoFilter ref="A1:AA3"/>
  <tableColumns count="27">
    <tableColumn id="1" name="event_date"/>
    <tableColumn id="2" name="fighter_a"/>
    <tableColumn id="3" name="fighter_b"/>
    <tableColumn id="4" name="predicted_winner"/>
    <tableColumn id="5" name="opponent"/>
    <tableColumn id="6" name="predicted_side"/>
    <tableColumn id="7" name="predicted_win_probability"/>
    <tableColumn id="8" name="opponent_win_probability"/>
    <tableColumn id="9" name="confidence"/>
    <tableColumn id="10" name="confidence_percent"/>
    <tableColumn id="11" name="max_confidence_stake"/>
    <tableColumn id="12" name="confidence_stake"/>
    <tableColumn id="13" name="best_sportsbook"/>
    <tableColumn id="14" name="best_american_odds"/>
    <tableColumn id="15" name="best_decimal_odds"/>
    <tableColumn id="16" name="implied_probability"/>
    <tableColumn id="17" name="edge"/>
    <tableColumn id="18" name="expected_roi"/>
    <tableColumn id="19" name="expected_profit"/>
    <tableColumn id="20" name="profit_if_correct"/>
    <tableColumn id="21" name="total_return_if_correct"/>
    <tableColumn id="22" name="max_loss_if_wrong"/>
    <tableColumn id="23" name="value_flag"/>
    <tableColumn id="24" name="all_predicted_winner_odds"/>
    <tableColumn id="25" name="best_opponent_sportsbook"/>
    <tableColumn id="26" name="best_opponent_american_odds"/>
    <tableColumn id="27" name="all_opponent_odds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ValueBoardTable" displayName="ValueBoardTable" ref="A1:AA9" headerRowCount="1">
  <autoFilter ref="A1:AA9"/>
  <tableColumns count="27">
    <tableColumn id="1" name="event_date"/>
    <tableColumn id="2" name="fighter_a"/>
    <tableColumn id="3" name="fighter_b"/>
    <tableColumn id="4" name="sportsbook"/>
    <tableColumn id="5" name="fighter"/>
    <tableColumn id="6" name="opponent"/>
    <tableColumn id="7" name="side"/>
    <tableColumn id="8" name="american_odds"/>
    <tableColumn id="9" name="decimal_odds"/>
    <tableColumn id="10" name="model_probability"/>
    <tableColumn id="11" name="implied_probability"/>
    <tableColumn id="12" name="edge"/>
    <tableColumn id="13" name="expected_roi"/>
    <tableColumn id="14" name="expected_profit_per_100"/>
    <tableColumn id="15" name="full_kelly_fraction"/>
    <tableColumn id="16" name="recommended_fraction"/>
    <tableColumn id="17" name="recommended_stake"/>
    <tableColumn id="18" name="potential_profit"/>
    <tableColumn id="19" name="total_payout_if_win"/>
    <tableColumn id="20" name="max_loss"/>
    <tableColumn id="21" name="risk_reward_ratio"/>
    <tableColumn id="22" name="profit_volatility_per_1"/>
    <tableColumn id="23" name="risk_adjusted_score"/>
    <tableColumn id="24" name="risk_label"/>
    <tableColumn id="25" name="decision"/>
    <tableColumn id="26" name="best_available_for_fighter"/>
    <tableColumn id="27" name="best_recommendation_for_matchup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BestLinesTable" displayName="BestLinesTable" ref="A1:O5" headerRowCount="1">
  <autoFilter ref="A1:O5"/>
  <tableColumns count="15">
    <tableColumn id="1" name="event_date"/>
    <tableColumn id="2" name="fighter_a"/>
    <tableColumn id="3" name="fighter_b"/>
    <tableColumn id="4" name="fighter"/>
    <tableColumn id="5" name="sportsbook"/>
    <tableColumn id="6" name="american_odds"/>
    <tableColumn id="7" name="decimal_odds"/>
    <tableColumn id="8" name="model_probability"/>
    <tableColumn id="9" name="implied_probability"/>
    <tableColumn id="10" name="edge"/>
    <tableColumn id="11" name="expected_roi"/>
    <tableColumn id="12" name="recommended_stake"/>
    <tableColumn id="13" name="potential_profit"/>
    <tableColumn id="14" name="decision"/>
    <tableColumn id="15" name="risk_label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opMatchupsTable" displayName="TopMatchupsTable" ref="A1:AA3" headerRowCount="1">
  <autoFilter ref="A1:AA3"/>
  <tableColumns count="27">
    <tableColumn id="1" name="event_date"/>
    <tableColumn id="2" name="fighter_a"/>
    <tableColumn id="3" name="fighter_b"/>
    <tableColumn id="4" name="sportsbook"/>
    <tableColumn id="5" name="fighter"/>
    <tableColumn id="6" name="opponent"/>
    <tableColumn id="7" name="side"/>
    <tableColumn id="8" name="american_odds"/>
    <tableColumn id="9" name="decimal_odds"/>
    <tableColumn id="10" name="model_probability"/>
    <tableColumn id="11" name="implied_probability"/>
    <tableColumn id="12" name="edge"/>
    <tableColumn id="13" name="expected_roi"/>
    <tableColumn id="14" name="expected_profit_per_100"/>
    <tableColumn id="15" name="full_kelly_fraction"/>
    <tableColumn id="16" name="recommended_fraction"/>
    <tableColumn id="17" name="recommended_stake"/>
    <tableColumn id="18" name="potential_profit"/>
    <tableColumn id="19" name="total_payout_if_win"/>
    <tableColumn id="20" name="max_loss"/>
    <tableColumn id="21" name="risk_reward_ratio"/>
    <tableColumn id="22" name="profit_volatility_per_1"/>
    <tableColumn id="23" name="risk_adjusted_score"/>
    <tableColumn id="24" name="risk_label"/>
    <tableColumn id="25" name="decision"/>
    <tableColumn id="26" name="best_available_for_fighter"/>
    <tableColumn id="27" name="best_recommendation_for_matchup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PredictionsTable" displayName="PredictionsTable" ref="A1:M3" headerRowCount="1">
  <autoFilter ref="A1:M3"/>
  <tableColumns count="13">
    <tableColumn id="1" name="event_date"/>
    <tableColumn id="2" name="fighter_a"/>
    <tableColumn id="3" name="fighter_b"/>
    <tableColumn id="4" name="weight_class"/>
    <tableColumn id="5" name="gender"/>
    <tableColumn id="6" name="scheduled_rounds"/>
    <tableColumn id="7" name="title_fight"/>
    <tableColumn id="8" name="data_quality_flags"/>
    <tableColumn id="9" name="prob_fighter_a"/>
    <tableColumn id="10" name="prob_fighter_b"/>
    <tableColumn id="11" name="pick"/>
    <tableColumn id="12" name="confidence_bucket"/>
    <tableColumn id="13" name="model_version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OddsBoardTable" displayName="OddsBoardTable" ref="A1:F9" headerRowCount="1">
  <autoFilter ref="A1:F9"/>
  <tableColumns count="6">
    <tableColumn id="1" name="event_date"/>
    <tableColumn id="2" name="fighter_a"/>
    <tableColumn id="3" name="fighter_b"/>
    <tableColumn id="4" name="sportsbook"/>
    <tableColumn id="5" name="fighter"/>
    <tableColumn id="6" name="american_odd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10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20" customWidth="1" min="2" max="2"/>
  </cols>
  <sheetData>
    <row r="1">
      <c r="A1" s="1" t="inlineStr">
        <is>
          <t>UFC Betting Odds Workbook</t>
        </is>
      </c>
    </row>
    <row r="3">
      <c r="A3" s="2" t="inlineStr">
        <is>
          <t>What this is</t>
        </is>
      </c>
      <c r="B3" t="inlineStr">
        <is>
          <t>A workbook version of the betting-report command outputs.</t>
        </is>
      </c>
    </row>
    <row r="4">
      <c r="A4" s="2" t="inlineStr">
        <is>
          <t>What this is not</t>
        </is>
      </c>
      <c r="B4" t="inlineStr">
        <is>
          <t>Not betting advice and not a guarantee of profit.</t>
        </is>
      </c>
    </row>
    <row r="5">
      <c r="A5" s="2" t="inlineStr">
        <is>
          <t>Value Board</t>
        </is>
      </c>
      <c r="B5" t="inlineStr">
        <is>
          <t>Every sportsbook line ranked by model edge, expected ROI, and conservative Kelly sizing.</t>
        </is>
      </c>
    </row>
    <row r="6">
      <c r="A6" s="2" t="inlineStr">
        <is>
          <t>Fight Recommendations</t>
        </is>
      </c>
      <c r="B6" t="inlineStr">
        <is>
          <t>One row per fight using the model pick, best available odds, confidence stake, and expected profit.</t>
        </is>
      </c>
    </row>
    <row r="7">
      <c r="A7" s="2" t="inlineStr">
        <is>
          <t>Confidence formula</t>
        </is>
      </c>
      <c r="B7" t="inlineStr">
        <is>
          <t>confidence = (pick probability - 0.50) * 2; 50% means $0, 100% means the configured max stake.</t>
        </is>
      </c>
    </row>
    <row r="8">
      <c r="A8" s="2" t="inlineStr">
        <is>
          <t>Risk framing</t>
        </is>
      </c>
      <c r="B8" t="inlineStr">
        <is>
          <t>Positive expected value can still lose. Underdog lines can have high variance even when they rank well.</t>
        </is>
      </c>
    </row>
    <row r="11">
      <c r="A11" s="2" t="inlineStr">
        <is>
          <t>Sheets</t>
        </is>
      </c>
    </row>
    <row r="12">
      <c r="A12" t="inlineStr">
        <is>
          <t>Summary: report-level metrics and sizing assumptions.</t>
        </is>
      </c>
    </row>
    <row r="13">
      <c r="A13" t="inlineStr">
        <is>
          <t>Fight Recommendations: model pick, confidence stake, best line, and expected profit per fight.</t>
        </is>
      </c>
    </row>
    <row r="14">
      <c r="A14" t="inlineStr">
        <is>
          <t>Value Board: every sportsbook/fighter line ranked for value.</t>
        </is>
      </c>
    </row>
    <row r="15">
      <c r="A15" t="inlineStr">
        <is>
          <t>Best Lines: best available line for each fighter across books.</t>
        </is>
      </c>
    </row>
    <row r="16">
      <c r="A16" t="inlineStr">
        <is>
          <t>Top Matchups: best risk-adjusted recommendation per matchup.</t>
        </is>
      </c>
    </row>
    <row r="17">
      <c r="A17" t="inlineStr">
        <is>
          <t>Predictions: raw model probabilities and confidence.</t>
        </is>
      </c>
    </row>
    <row r="18">
      <c r="A18" t="inlineStr">
        <is>
          <t>Odds Board: supplied or fetched sportsbook odds.</t>
        </is>
      </c>
    </row>
    <row r="19">
      <c r="A19" t="inlineStr">
        <is>
          <t>Charts: visual summary of stakes, expected profit, and value candidates.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4" customWidth="1" min="1" max="1"/>
    <col width="44" customWidth="1" min="2" max="2"/>
  </cols>
  <sheetData>
    <row r="1">
      <c r="A1" s="3" t="inlineStr">
        <is>
          <t>Metric</t>
        </is>
      </c>
      <c r="B1" s="3" t="inlineStr">
        <is>
          <t>Value</t>
        </is>
      </c>
    </row>
    <row r="2">
      <c r="A2" t="inlineStr">
        <is>
          <t>Report type</t>
        </is>
      </c>
      <c r="B2" t="inlineStr">
        <is>
          <t>Upcoming betting odds report</t>
        </is>
      </c>
    </row>
    <row r="3">
      <c r="A3" t="inlineStr">
        <is>
          <t>Purpose</t>
        </is>
      </c>
      <c r="B3" t="inlineStr">
        <is>
          <t>Compare model probabilities against supplied sportsbook moneyline odds</t>
        </is>
      </c>
    </row>
    <row r="4">
      <c r="A4" t="inlineStr">
        <is>
          <t>Analytics-only notice</t>
        </is>
      </c>
      <c r="B4" t="inlineStr">
        <is>
          <t>This is not betting advice and does not guarantee profit</t>
        </is>
      </c>
    </row>
    <row r="5">
      <c r="A5" t="inlineStr">
        <is>
          <t>Fights scored</t>
        </is>
      </c>
      <c r="B5" t="n">
        <v>2</v>
      </c>
    </row>
    <row r="6">
      <c r="A6" t="inlineStr">
        <is>
          <t>Sportsbook lines ranked</t>
        </is>
      </c>
      <c r="B6" t="n">
        <v>8</v>
      </c>
    </row>
    <row r="7">
      <c r="A7" t="inlineStr">
        <is>
          <t>Sportsbooks compared</t>
        </is>
      </c>
      <c r="B7" t="n">
        <v>2</v>
      </c>
    </row>
    <row r="8">
      <c r="A8" t="inlineStr">
        <is>
          <t>Value candidates</t>
        </is>
      </c>
      <c r="B8" t="n">
        <v>3</v>
      </c>
    </row>
    <row r="9">
      <c r="A9" t="inlineStr">
        <is>
          <t>Positive-EV model picks</t>
        </is>
      </c>
      <c r="B9" t="n">
        <v>1</v>
      </c>
    </row>
    <row r="10">
      <c r="A10" t="inlineStr">
        <is>
          <t>Bankroll used for Kelly sizing</t>
        </is>
      </c>
      <c r="B10" t="n">
        <v>1000</v>
      </c>
    </row>
    <row r="11">
      <c r="A11" t="inlineStr">
        <is>
          <t>Max confidence stake</t>
        </is>
      </c>
      <c r="B11" t="n">
        <v>100</v>
      </c>
    </row>
    <row r="12">
      <c r="A12" t="inlineStr">
        <is>
          <t>Total confidence stake</t>
        </is>
      </c>
      <c r="B12" t="n">
        <v>22</v>
      </c>
    </row>
    <row r="13">
      <c r="A13" t="inlineStr">
        <is>
          <t>Total expected profit from confidence stakes</t>
        </is>
      </c>
      <c r="B13" t="n">
        <v>2.969217391304344</v>
      </c>
    </row>
    <row r="14">
      <c r="A14" t="inlineStr">
        <is>
          <t>Total profit if every confidence pick wins</t>
        </is>
      </c>
      <c r="B14" t="n">
        <v>22.01739130434782</v>
      </c>
    </row>
    <row r="15">
      <c r="A15" t="inlineStr">
        <is>
          <t>Total return if every confidence pick wins</t>
        </is>
      </c>
      <c r="B15" t="n">
        <v>44.01739130434782</v>
      </c>
    </row>
    <row r="16">
      <c r="A16" t="inlineStr">
        <is>
          <t>Total max loss if every confidence pick loses</t>
        </is>
      </c>
      <c r="B16" t="n">
        <v>22</v>
      </c>
    </row>
    <row r="17">
      <c r="A17" t="inlineStr">
        <is>
          <t>Total recommended Kelly stake</t>
        </is>
      </c>
      <c r="B17" t="n">
        <v>49.32692307692309</v>
      </c>
    </row>
    <row r="18">
      <c r="A18" t="inlineStr">
        <is>
          <t>Expected profit from recommended Kelly stake</t>
        </is>
      </c>
      <c r="B18" t="n">
        <v>5.646730769230766</v>
      </c>
    </row>
  </sheetData>
  <autoFilter ref="A1:B1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8" customWidth="1" min="4" max="4"/>
    <col width="13" customWidth="1" min="5" max="5"/>
    <col width="16" customWidth="1" min="6" max="6"/>
    <col width="27" customWidth="1" min="7" max="7"/>
    <col width="26" customWidth="1" min="8" max="8"/>
    <col width="21" customWidth="1" min="9" max="9"/>
    <col width="20" customWidth="1" min="10" max="10"/>
    <col width="22" customWidth="1" min="11" max="11"/>
    <col width="20" customWidth="1" min="12" max="12"/>
    <col width="17" customWidth="1" min="13" max="13"/>
    <col width="20" customWidth="1" min="14" max="14"/>
    <col width="20" customWidth="1" min="15" max="15"/>
    <col width="21" customWidth="1" min="16" max="16"/>
    <col width="24" customWidth="1" min="17" max="17"/>
    <col width="23" customWidth="1" min="18" max="18"/>
    <col width="22" customWidth="1" min="19" max="19"/>
    <col width="19" customWidth="1" min="20" max="20"/>
    <col width="25" customWidth="1" min="21" max="21"/>
    <col width="20" customWidth="1" min="22" max="22"/>
    <col width="13" customWidth="1" min="23" max="23"/>
    <col width="27" customWidth="1" min="24" max="24"/>
    <col width="26" customWidth="1" min="25" max="25"/>
    <col width="29" customWidth="1" min="26" max="26"/>
    <col width="26" customWidth="1" min="27" max="27"/>
  </cols>
  <sheetData>
    <row r="1">
      <c r="A1" s="3" t="inlineStr">
        <is>
          <t>event_date</t>
        </is>
      </c>
      <c r="B1" s="3" t="inlineStr">
        <is>
          <t>fighter_a</t>
        </is>
      </c>
      <c r="C1" s="3" t="inlineStr">
        <is>
          <t>fighter_b</t>
        </is>
      </c>
      <c r="D1" s="3" t="inlineStr">
        <is>
          <t>predicted_winner</t>
        </is>
      </c>
      <c r="E1" s="3" t="inlineStr">
        <is>
          <t>opponent</t>
        </is>
      </c>
      <c r="F1" s="3" t="inlineStr">
        <is>
          <t>predicted_side</t>
        </is>
      </c>
      <c r="G1" s="3" t="inlineStr">
        <is>
          <t>predicted_win_probability</t>
        </is>
      </c>
      <c r="H1" s="3" t="inlineStr">
        <is>
          <t>opponent_win_probability</t>
        </is>
      </c>
      <c r="I1" s="3" t="inlineStr">
        <is>
          <t>confidence</t>
        </is>
      </c>
      <c r="J1" s="3" t="inlineStr">
        <is>
          <t>confidence_percent</t>
        </is>
      </c>
      <c r="K1" s="3" t="inlineStr">
        <is>
          <t>max_confidence_stake</t>
        </is>
      </c>
      <c r="L1" s="3" t="inlineStr">
        <is>
          <t>confidence_stake</t>
        </is>
      </c>
      <c r="M1" s="3" t="inlineStr">
        <is>
          <t>best_sportsbook</t>
        </is>
      </c>
      <c r="N1" s="3" t="inlineStr">
        <is>
          <t>best_american_odds</t>
        </is>
      </c>
      <c r="O1" s="3" t="inlineStr">
        <is>
          <t>best_decimal_odds</t>
        </is>
      </c>
      <c r="P1" s="3" t="inlineStr">
        <is>
          <t>implied_probability</t>
        </is>
      </c>
      <c r="Q1" s="3" t="inlineStr">
        <is>
          <t>edge</t>
        </is>
      </c>
      <c r="R1" s="3" t="inlineStr">
        <is>
          <t>expected_roi</t>
        </is>
      </c>
      <c r="S1" s="3" t="inlineStr">
        <is>
          <t>expected_profit</t>
        </is>
      </c>
      <c r="T1" s="3" t="inlineStr">
        <is>
          <t>profit_if_correct</t>
        </is>
      </c>
      <c r="U1" s="3" t="inlineStr">
        <is>
          <t>total_return_if_correct</t>
        </is>
      </c>
      <c r="V1" s="3" t="inlineStr">
        <is>
          <t>max_loss_if_wrong</t>
        </is>
      </c>
      <c r="W1" s="3" t="inlineStr">
        <is>
          <t>value_flag</t>
        </is>
      </c>
      <c r="X1" s="3" t="inlineStr">
        <is>
          <t>all_predicted_winner_odds</t>
        </is>
      </c>
      <c r="Y1" s="3" t="inlineStr">
        <is>
          <t>best_opponent_sportsbook</t>
        </is>
      </c>
      <c r="Z1" s="3" t="inlineStr">
        <is>
          <t>best_opponent_american_odds</t>
        </is>
      </c>
      <c r="AA1" s="3" t="inlineStr">
        <is>
          <t>all_opponent_odds</t>
        </is>
      </c>
    </row>
    <row r="2">
      <c r="A2" t="inlineStr">
        <is>
          <t>2023-12-16</t>
        </is>
      </c>
      <c r="B2" t="inlineStr">
        <is>
          <t>Alpha Adams</t>
        </is>
      </c>
      <c r="C2" t="inlineStr">
        <is>
          <t>Ethan Ellis</t>
        </is>
      </c>
      <c r="D2" t="inlineStr">
        <is>
          <t>Alpha Adams</t>
        </is>
      </c>
      <c r="E2" t="inlineStr">
        <is>
          <t>Ethan Ellis</t>
        </is>
      </c>
      <c r="F2" t="inlineStr">
        <is>
          <t>fighter_a</t>
        </is>
      </c>
      <c r="G2" s="4" t="n">
        <v>0.58</v>
      </c>
      <c r="H2" s="4" t="n">
        <v>0.42</v>
      </c>
      <c r="I2" s="4" t="n">
        <v>0.1599999999999999</v>
      </c>
      <c r="J2" s="4" t="n">
        <v>15.99999999999999</v>
      </c>
      <c r="K2" s="5" t="n">
        <v>100</v>
      </c>
      <c r="L2" s="5" t="n">
        <v>15.99999999999999</v>
      </c>
      <c r="M2" t="inlineStr">
        <is>
          <t>Book B</t>
        </is>
      </c>
      <c r="N2" t="n">
        <v>105</v>
      </c>
      <c r="O2" s="6" t="n">
        <v>2.05</v>
      </c>
      <c r="P2" s="4" t="n">
        <v>0.4878048780487805</v>
      </c>
      <c r="Q2" s="4" t="n">
        <v>0.09219512195121943</v>
      </c>
      <c r="R2" s="4" t="n">
        <v>0.1889999999999998</v>
      </c>
      <c r="S2" s="5" t="n">
        <v>3.023999999999996</v>
      </c>
      <c r="T2" s="5" t="n">
        <v>16.79999999999999</v>
      </c>
      <c r="U2" s="5" t="n">
        <v>32.79999999999998</v>
      </c>
      <c r="V2" s="5" t="n">
        <v>15.99999999999999</v>
      </c>
      <c r="W2" t="inlineStr">
        <is>
          <t>positive_ev</t>
        </is>
      </c>
      <c r="X2" t="inlineStr">
        <is>
          <t>Book B +105; Book A -125</t>
        </is>
      </c>
      <c r="Y2" t="inlineStr">
        <is>
          <t>Book A</t>
        </is>
      </c>
      <c r="Z2" t="n">
        <v>135</v>
      </c>
      <c r="AA2" t="inlineStr">
        <is>
          <t>Book A +135; Book B +125</t>
        </is>
      </c>
    </row>
    <row r="3">
      <c r="A3" t="inlineStr">
        <is>
          <t>2023-12-16</t>
        </is>
      </c>
      <c r="B3" t="inlineStr">
        <is>
          <t>Bruno Blake</t>
        </is>
      </c>
      <c r="C3" t="inlineStr">
        <is>
          <t>Felix Fox</t>
        </is>
      </c>
      <c r="D3" t="inlineStr">
        <is>
          <t>Felix Fox</t>
        </is>
      </c>
      <c r="E3" t="inlineStr">
        <is>
          <t>Bruno Blake</t>
        </is>
      </c>
      <c r="F3" t="inlineStr">
        <is>
          <t>fighter_b</t>
        </is>
      </c>
      <c r="G3" s="4" t="n">
        <v>0.53</v>
      </c>
      <c r="H3" s="4" t="n">
        <v>0.47</v>
      </c>
      <c r="I3" s="4" t="n">
        <v>0.06000000000000005</v>
      </c>
      <c r="J3" s="4" t="n">
        <v>6.000000000000005</v>
      </c>
      <c r="K3" s="5" t="n">
        <v>100</v>
      </c>
      <c r="L3" s="5" t="n">
        <v>6.000000000000005</v>
      </c>
      <c r="M3" t="inlineStr">
        <is>
          <t>Book B</t>
        </is>
      </c>
      <c r="N3" t="n">
        <v>-115</v>
      </c>
      <c r="O3" s="6" t="n">
        <v>1.869565217391304</v>
      </c>
      <c r="P3" s="4" t="n">
        <v>0.5348837209302326</v>
      </c>
      <c r="Q3" s="4" t="n">
        <v>-0.004883720930232593</v>
      </c>
      <c r="R3" s="4" t="n">
        <v>-0.009130434782608665</v>
      </c>
      <c r="S3" s="5" t="n">
        <v>-0.05478260869565204</v>
      </c>
      <c r="T3" s="5" t="n">
        <v>5.21739130434783</v>
      </c>
      <c r="U3" s="5" t="n">
        <v>11.21739130434784</v>
      </c>
      <c r="V3" s="5" t="n">
        <v>6.000000000000005</v>
      </c>
      <c r="W3" t="inlineStr">
        <is>
          <t>negative_ev</t>
        </is>
      </c>
      <c r="X3" t="inlineStr">
        <is>
          <t>Book B -115; Book A -140</t>
        </is>
      </c>
      <c r="Y3" t="inlineStr">
        <is>
          <t>Book B</t>
        </is>
      </c>
      <c r="Z3" t="n">
        <v>130</v>
      </c>
      <c r="AA3" t="inlineStr">
        <is>
          <t>Book B +130; Book A +115</t>
        </is>
      </c>
    </row>
  </sheetData>
  <autoFilter ref="A1:AA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3" customWidth="1" min="5" max="5"/>
    <col width="13" customWidth="1" min="6" max="6"/>
    <col width="11" customWidth="1" min="7" max="7"/>
    <col width="15" customWidth="1" min="8" max="8"/>
    <col width="20" customWidth="1" min="9" max="9"/>
    <col width="19" customWidth="1" min="10" max="10"/>
    <col width="21" customWidth="1" min="11" max="11"/>
    <col width="24" customWidth="1" min="12" max="12"/>
    <col width="23" customWidth="1" min="13" max="13"/>
    <col width="25" customWidth="1" min="14" max="14"/>
    <col width="22" customWidth="1" min="15" max="15"/>
    <col width="22" customWidth="1" min="16" max="16"/>
    <col width="20" customWidth="1" min="17" max="17"/>
    <col width="20" customWidth="1" min="18" max="18"/>
    <col width="21" customWidth="1" min="19" max="19"/>
    <col width="20" customWidth="1" min="20" max="20"/>
    <col width="20" customWidth="1" min="21" max="21"/>
    <col width="25" customWidth="1" min="22" max="22"/>
    <col width="23" customWidth="1" min="23" max="23"/>
    <col width="23" customWidth="1" min="24" max="24"/>
    <col width="10" customWidth="1" min="25" max="25"/>
    <col width="28" customWidth="1" min="26" max="26"/>
    <col width="33" customWidth="1" min="27" max="27"/>
  </cols>
  <sheetData>
    <row r="1">
      <c r="A1" s="3" t="inlineStr">
        <is>
          <t>event_date</t>
        </is>
      </c>
      <c r="B1" s="3" t="inlineStr">
        <is>
          <t>fighter_a</t>
        </is>
      </c>
      <c r="C1" s="3" t="inlineStr">
        <is>
          <t>fighter_b</t>
        </is>
      </c>
      <c r="D1" s="3" t="inlineStr">
        <is>
          <t>sportsbook</t>
        </is>
      </c>
      <c r="E1" s="3" t="inlineStr">
        <is>
          <t>fighter</t>
        </is>
      </c>
      <c r="F1" s="3" t="inlineStr">
        <is>
          <t>opponent</t>
        </is>
      </c>
      <c r="G1" s="3" t="inlineStr">
        <is>
          <t>side</t>
        </is>
      </c>
      <c r="H1" s="3" t="inlineStr">
        <is>
          <t>american_odds</t>
        </is>
      </c>
      <c r="I1" s="3" t="inlineStr">
        <is>
          <t>decimal_odds</t>
        </is>
      </c>
      <c r="J1" s="3" t="inlineStr">
        <is>
          <t>model_probability</t>
        </is>
      </c>
      <c r="K1" s="3" t="inlineStr">
        <is>
          <t>implied_probability</t>
        </is>
      </c>
      <c r="L1" s="3" t="inlineStr">
        <is>
          <t>edge</t>
        </is>
      </c>
      <c r="M1" s="3" t="inlineStr">
        <is>
          <t>expected_roi</t>
        </is>
      </c>
      <c r="N1" s="3" t="inlineStr">
        <is>
          <t>expected_profit_per_100</t>
        </is>
      </c>
      <c r="O1" s="3" t="inlineStr">
        <is>
          <t>full_kelly_fraction</t>
        </is>
      </c>
      <c r="P1" s="3" t="inlineStr">
        <is>
          <t>recommended_fraction</t>
        </is>
      </c>
      <c r="Q1" s="3" t="inlineStr">
        <is>
          <t>recommended_stake</t>
        </is>
      </c>
      <c r="R1" s="3" t="inlineStr">
        <is>
          <t>potential_profit</t>
        </is>
      </c>
      <c r="S1" s="3" t="inlineStr">
        <is>
          <t>total_payout_if_win</t>
        </is>
      </c>
      <c r="T1" s="3" t="inlineStr">
        <is>
          <t>max_loss</t>
        </is>
      </c>
      <c r="U1" s="3" t="inlineStr">
        <is>
          <t>risk_reward_ratio</t>
        </is>
      </c>
      <c r="V1" s="3" t="inlineStr">
        <is>
          <t>profit_volatility_per_1</t>
        </is>
      </c>
      <c r="W1" s="3" t="inlineStr">
        <is>
          <t>risk_adjusted_score</t>
        </is>
      </c>
      <c r="X1" s="3" t="inlineStr">
        <is>
          <t>risk_label</t>
        </is>
      </c>
      <c r="Y1" s="3" t="inlineStr">
        <is>
          <t>decision</t>
        </is>
      </c>
      <c r="Z1" s="3" t="inlineStr">
        <is>
          <t>best_available_for_fighter</t>
        </is>
      </c>
      <c r="AA1" s="3" t="inlineStr">
        <is>
          <t>best_recommendation_for_matchup</t>
        </is>
      </c>
    </row>
    <row r="2">
      <c r="A2" t="inlineStr">
        <is>
          <t>2023-12-16</t>
        </is>
      </c>
      <c r="B2" t="inlineStr">
        <is>
          <t>Alpha Adams</t>
        </is>
      </c>
      <c r="C2" t="inlineStr">
        <is>
          <t>Ethan Ellis</t>
        </is>
      </c>
      <c r="D2" t="inlineStr">
        <is>
          <t>Book B</t>
        </is>
      </c>
      <c r="E2" t="inlineStr">
        <is>
          <t>Alpha Adams</t>
        </is>
      </c>
      <c r="F2" t="inlineStr">
        <is>
          <t>Ethan Ellis</t>
        </is>
      </c>
      <c r="G2" t="inlineStr">
        <is>
          <t>fighter_a</t>
        </is>
      </c>
      <c r="H2" t="n">
        <v>105</v>
      </c>
      <c r="I2" s="6" t="n">
        <v>2.05</v>
      </c>
      <c r="J2" s="4" t="n">
        <v>0.58</v>
      </c>
      <c r="K2" s="4" t="n">
        <v>0.4878048780487805</v>
      </c>
      <c r="L2" s="4" t="n">
        <v>0.09219512195121943</v>
      </c>
      <c r="M2" s="4" t="n">
        <v>0.1889999999999998</v>
      </c>
      <c r="N2" s="5" t="n">
        <v>18.89999999999998</v>
      </c>
      <c r="O2" s="4" t="n">
        <v>0.1799999999999999</v>
      </c>
      <c r="P2" s="4" t="n">
        <v>0.02</v>
      </c>
      <c r="Q2" s="5" t="n">
        <v>20</v>
      </c>
      <c r="R2" s="5" t="n">
        <v>21</v>
      </c>
      <c r="S2" s="5" t="n">
        <v>41</v>
      </c>
      <c r="T2" s="5" t="n">
        <v>20</v>
      </c>
      <c r="U2" t="n">
        <v>0.9523809523809526</v>
      </c>
      <c r="V2" s="5" t="n">
        <v>1.011794939698751</v>
      </c>
      <c r="W2" s="6" t="n">
        <v>0.18679674367246</v>
      </c>
      <c r="X2" t="inlineStr">
        <is>
          <t>medium_variance_value</t>
        </is>
      </c>
      <c r="Y2" t="inlineStr">
        <is>
          <t>bet</t>
        </is>
      </c>
      <c r="Z2" t="b">
        <v>1</v>
      </c>
      <c r="AA2" t="b">
        <v>1</v>
      </c>
    </row>
    <row r="3">
      <c r="A3" t="inlineStr">
        <is>
          <t>2023-12-16</t>
        </is>
      </c>
      <c r="B3" t="inlineStr">
        <is>
          <t>Bruno Blake</t>
        </is>
      </c>
      <c r="C3" t="inlineStr">
        <is>
          <t>Felix Fox</t>
        </is>
      </c>
      <c r="D3" t="inlineStr">
        <is>
          <t>Book B</t>
        </is>
      </c>
      <c r="E3" t="inlineStr">
        <is>
          <t>Bruno Blake</t>
        </is>
      </c>
      <c r="F3" t="inlineStr">
        <is>
          <t>Felix Fox</t>
        </is>
      </c>
      <c r="G3" t="inlineStr">
        <is>
          <t>fighter_a</t>
        </is>
      </c>
      <c r="H3" t="n">
        <v>130</v>
      </c>
      <c r="I3" s="6" t="n">
        <v>2.3</v>
      </c>
      <c r="J3" s="4" t="n">
        <v>0.47</v>
      </c>
      <c r="K3" s="4" t="n">
        <v>0.4347826086956522</v>
      </c>
      <c r="L3" s="4" t="n">
        <v>0.03521739130434776</v>
      </c>
      <c r="M3" s="4" t="n">
        <v>0.08099999999999996</v>
      </c>
      <c r="N3" s="5" t="n">
        <v>8.099999999999996</v>
      </c>
      <c r="O3" s="4" t="n">
        <v>0.06230769230769229</v>
      </c>
      <c r="P3" s="4" t="n">
        <v>0.01557692307692307</v>
      </c>
      <c r="Q3" s="5" t="n">
        <v>15.57692307692307</v>
      </c>
      <c r="R3" s="5" t="n">
        <v>20.24999999999999</v>
      </c>
      <c r="S3" s="5" t="n">
        <v>35.82692307692306</v>
      </c>
      <c r="T3" s="5" t="n">
        <v>15.57692307692307</v>
      </c>
      <c r="U3" t="n">
        <v>0.7692307692307694</v>
      </c>
      <c r="V3" s="5" t="n">
        <v>1.147928133639036</v>
      </c>
      <c r="W3" s="6" t="n">
        <v>0.07056190856061927</v>
      </c>
      <c r="X3" t="inlineStr">
        <is>
          <t>high_variance_value</t>
        </is>
      </c>
      <c r="Y3" t="inlineStr">
        <is>
          <t>bet</t>
        </is>
      </c>
      <c r="Z3" t="b">
        <v>1</v>
      </c>
      <c r="AA3" t="b">
        <v>1</v>
      </c>
    </row>
    <row r="4">
      <c r="A4" t="inlineStr">
        <is>
          <t>2023-12-16</t>
        </is>
      </c>
      <c r="B4" t="inlineStr">
        <is>
          <t>Alpha Adams</t>
        </is>
      </c>
      <c r="C4" t="inlineStr">
        <is>
          <t>Ethan Ellis</t>
        </is>
      </c>
      <c r="D4" t="inlineStr">
        <is>
          <t>Book A</t>
        </is>
      </c>
      <c r="E4" t="inlineStr">
        <is>
          <t>Alpha Adams</t>
        </is>
      </c>
      <c r="F4" t="inlineStr">
        <is>
          <t>Ethan Ellis</t>
        </is>
      </c>
      <c r="G4" t="inlineStr">
        <is>
          <t>fighter_a</t>
        </is>
      </c>
      <c r="H4" t="n">
        <v>-125</v>
      </c>
      <c r="I4" s="6" t="n">
        <v>1.8</v>
      </c>
      <c r="J4" s="4" t="n">
        <v>0.58</v>
      </c>
      <c r="K4" s="4" t="n">
        <v>0.5555555555555556</v>
      </c>
      <c r="L4" s="4" t="n">
        <v>0.02444444444444438</v>
      </c>
      <c r="M4" s="4" t="n">
        <v>0.04400000000000004</v>
      </c>
      <c r="N4" s="5" t="n">
        <v>4.400000000000004</v>
      </c>
      <c r="O4" s="4" t="n">
        <v>0.05500000000000005</v>
      </c>
      <c r="P4" s="4" t="n">
        <v>0.01375000000000001</v>
      </c>
      <c r="Q4" s="5" t="n">
        <v>13.75000000000001</v>
      </c>
      <c r="R4" s="5" t="n">
        <v>11.00000000000001</v>
      </c>
      <c r="S4" s="5" t="n">
        <v>24.75000000000002</v>
      </c>
      <c r="T4" s="5" t="n">
        <v>13.75000000000001</v>
      </c>
      <c r="U4" t="n">
        <v>1.25</v>
      </c>
      <c r="V4" s="5" t="n">
        <v>0.8884053129062207</v>
      </c>
      <c r="W4" s="6" t="n">
        <v>0.04952694379557886</v>
      </c>
      <c r="X4" t="inlineStr">
        <is>
          <t>medium_variance_value</t>
        </is>
      </c>
      <c r="Y4" t="inlineStr">
        <is>
          <t>bet</t>
        </is>
      </c>
      <c r="Z4" t="b">
        <v>0</v>
      </c>
      <c r="AA4" t="b">
        <v>0</v>
      </c>
    </row>
    <row r="5">
      <c r="A5" t="inlineStr">
        <is>
          <t>2023-12-16</t>
        </is>
      </c>
      <c r="B5" t="inlineStr">
        <is>
          <t>Bruno Blake</t>
        </is>
      </c>
      <c r="C5" t="inlineStr">
        <is>
          <t>Felix Fox</t>
        </is>
      </c>
      <c r="D5" t="inlineStr">
        <is>
          <t>Book A</t>
        </is>
      </c>
      <c r="E5" t="inlineStr">
        <is>
          <t>Bruno Blake</t>
        </is>
      </c>
      <c r="F5" t="inlineStr">
        <is>
          <t>Felix Fox</t>
        </is>
      </c>
      <c r="G5" t="inlineStr">
        <is>
          <t>fighter_a</t>
        </is>
      </c>
      <c r="H5" t="n">
        <v>115</v>
      </c>
      <c r="I5" s="6" t="n">
        <v>2.15</v>
      </c>
      <c r="J5" s="4" t="n">
        <v>0.47</v>
      </c>
      <c r="K5" s="4" t="n">
        <v>0.4651162790697674</v>
      </c>
      <c r="L5" s="4" t="n">
        <v>0.004883720930232538</v>
      </c>
      <c r="M5" s="4" t="n">
        <v>0.01049999999999995</v>
      </c>
      <c r="N5" s="5" t="n">
        <v>1.049999999999995</v>
      </c>
      <c r="O5" s="4" t="n">
        <v>0.009130434782608656</v>
      </c>
      <c r="P5" s="4" t="n">
        <v>0</v>
      </c>
      <c r="Q5" s="5" t="n">
        <v>0</v>
      </c>
      <c r="R5" s="5" t="n">
        <v>0</v>
      </c>
      <c r="S5" s="5" t="n">
        <v>0</v>
      </c>
      <c r="T5" s="5" t="n">
        <v>0</v>
      </c>
      <c r="V5" s="5" t="n">
        <v>1.073063255358229</v>
      </c>
      <c r="W5" s="6" t="n">
        <v>0.009785070868440703</v>
      </c>
      <c r="X5" t="inlineStr">
        <is>
          <t>no_bet</t>
        </is>
      </c>
      <c r="Y5" t="inlineStr">
        <is>
          <t>pass</t>
        </is>
      </c>
      <c r="Z5" t="b">
        <v>0</v>
      </c>
      <c r="AA5" t="b">
        <v>0</v>
      </c>
    </row>
    <row r="6">
      <c r="A6" t="inlineStr">
        <is>
          <t>2023-12-16</t>
        </is>
      </c>
      <c r="B6" t="inlineStr">
        <is>
          <t>Bruno Blake</t>
        </is>
      </c>
      <c r="C6" t="inlineStr">
        <is>
          <t>Felix Fox</t>
        </is>
      </c>
      <c r="D6" t="inlineStr">
        <is>
          <t>Book B</t>
        </is>
      </c>
      <c r="E6" t="inlineStr">
        <is>
          <t>Felix Fox</t>
        </is>
      </c>
      <c r="F6" t="inlineStr">
        <is>
          <t>Bruno Blake</t>
        </is>
      </c>
      <c r="G6" t="inlineStr">
        <is>
          <t>fighter_b</t>
        </is>
      </c>
      <c r="H6" t="n">
        <v>-115</v>
      </c>
      <c r="I6" s="6" t="n">
        <v>1.869565217391304</v>
      </c>
      <c r="J6" s="4" t="n">
        <v>0.53</v>
      </c>
      <c r="K6" s="4" t="n">
        <v>0.5348837209302326</v>
      </c>
      <c r="L6" s="4" t="n">
        <v>-0.004883720930232593</v>
      </c>
      <c r="M6" s="4" t="n">
        <v>-0.009130434782608665</v>
      </c>
      <c r="N6" s="5" t="n">
        <v>-0.9130434782608665</v>
      </c>
      <c r="O6" s="4" t="n">
        <v>0</v>
      </c>
      <c r="P6" s="4" t="n">
        <v>0</v>
      </c>
      <c r="Q6" s="5" t="n">
        <v>0</v>
      </c>
      <c r="R6" s="5" t="n">
        <v>0</v>
      </c>
      <c r="S6" s="5" t="n">
        <v>0</v>
      </c>
      <c r="T6" s="5" t="n">
        <v>0</v>
      </c>
      <c r="V6" s="5" t="n">
        <v>0.9330984829201991</v>
      </c>
      <c r="W6" s="6" t="n">
        <v>-0.009785070868440713</v>
      </c>
      <c r="X6" t="inlineStr">
        <is>
          <t>no_bet</t>
        </is>
      </c>
      <c r="Y6" t="inlineStr">
        <is>
          <t>pass</t>
        </is>
      </c>
      <c r="Z6" t="b">
        <v>1</v>
      </c>
      <c r="AA6" t="b">
        <v>0</v>
      </c>
    </row>
    <row r="7">
      <c r="A7" t="inlineStr">
        <is>
          <t>2023-12-16</t>
        </is>
      </c>
      <c r="B7" t="inlineStr">
        <is>
          <t>Alpha Adams</t>
        </is>
      </c>
      <c r="C7" t="inlineStr">
        <is>
          <t>Ethan Ellis</t>
        </is>
      </c>
      <c r="D7" t="inlineStr">
        <is>
          <t>Book A</t>
        </is>
      </c>
      <c r="E7" t="inlineStr">
        <is>
          <t>Ethan Ellis</t>
        </is>
      </c>
      <c r="F7" t="inlineStr">
        <is>
          <t>Alpha Adams</t>
        </is>
      </c>
      <c r="G7" t="inlineStr">
        <is>
          <t>fighter_b</t>
        </is>
      </c>
      <c r="H7" t="n">
        <v>135</v>
      </c>
      <c r="I7" s="6" t="n">
        <v>2.35</v>
      </c>
      <c r="J7" s="4" t="n">
        <v>0.42</v>
      </c>
      <c r="K7" s="4" t="n">
        <v>0.425531914893617</v>
      </c>
      <c r="L7" s="4" t="n">
        <v>-0.00553191489361704</v>
      </c>
      <c r="M7" s="4" t="n">
        <v>-0.01300000000000001</v>
      </c>
      <c r="N7" s="5" t="n">
        <v>-1.300000000000001</v>
      </c>
      <c r="O7" s="4" t="n">
        <v>0</v>
      </c>
      <c r="P7" s="4" t="n">
        <v>0</v>
      </c>
      <c r="Q7" s="5" t="n">
        <v>0</v>
      </c>
      <c r="R7" s="5" t="n">
        <v>0</v>
      </c>
      <c r="S7" s="5" t="n">
        <v>0</v>
      </c>
      <c r="T7" s="5" t="n">
        <v>0</v>
      </c>
      <c r="V7" s="5" t="n">
        <v>1.159862491849788</v>
      </c>
      <c r="W7" s="6" t="n">
        <v>-0.01120822519164937</v>
      </c>
      <c r="X7" t="inlineStr">
        <is>
          <t>no_bet</t>
        </is>
      </c>
      <c r="Y7" t="inlineStr">
        <is>
          <t>pass</t>
        </is>
      </c>
      <c r="Z7" t="b">
        <v>1</v>
      </c>
      <c r="AA7" t="b">
        <v>0</v>
      </c>
    </row>
    <row r="8">
      <c r="A8" t="inlineStr">
        <is>
          <t>2023-12-16</t>
        </is>
      </c>
      <c r="B8" t="inlineStr">
        <is>
          <t>Alpha Adams</t>
        </is>
      </c>
      <c r="C8" t="inlineStr">
        <is>
          <t>Ethan Ellis</t>
        </is>
      </c>
      <c r="D8" t="inlineStr">
        <is>
          <t>Book B</t>
        </is>
      </c>
      <c r="E8" t="inlineStr">
        <is>
          <t>Ethan Ellis</t>
        </is>
      </c>
      <c r="F8" t="inlineStr">
        <is>
          <t>Alpha Adams</t>
        </is>
      </c>
      <c r="G8" t="inlineStr">
        <is>
          <t>fighter_b</t>
        </is>
      </c>
      <c r="H8" t="n">
        <v>125</v>
      </c>
      <c r="I8" s="6" t="n">
        <v>2.25</v>
      </c>
      <c r="J8" s="4" t="n">
        <v>0.42</v>
      </c>
      <c r="K8" s="4" t="n">
        <v>0.4444444444444444</v>
      </c>
      <c r="L8" s="4" t="n">
        <v>-0.02444444444444444</v>
      </c>
      <c r="M8" s="4" t="n">
        <v>-0.05500000000000005</v>
      </c>
      <c r="N8" s="5" t="n">
        <v>-5.500000000000005</v>
      </c>
      <c r="O8" s="4" t="n">
        <v>0</v>
      </c>
      <c r="P8" s="4" t="n">
        <v>0</v>
      </c>
      <c r="Q8" s="5" t="n">
        <v>0</v>
      </c>
      <c r="R8" s="5" t="n">
        <v>0</v>
      </c>
      <c r="S8" s="5" t="n">
        <v>0</v>
      </c>
      <c r="T8" s="5" t="n">
        <v>0</v>
      </c>
      <c r="V8" s="5" t="n">
        <v>1.110506641132776</v>
      </c>
      <c r="W8" s="6" t="n">
        <v>-0.04952694379557885</v>
      </c>
      <c r="X8" t="inlineStr">
        <is>
          <t>no_bet</t>
        </is>
      </c>
      <c r="Y8" t="inlineStr">
        <is>
          <t>pass</t>
        </is>
      </c>
      <c r="Z8" t="b">
        <v>0</v>
      </c>
      <c r="AA8" t="b">
        <v>0</v>
      </c>
    </row>
    <row r="9">
      <c r="A9" t="inlineStr">
        <is>
          <t>2023-12-16</t>
        </is>
      </c>
      <c r="B9" t="inlineStr">
        <is>
          <t>Bruno Blake</t>
        </is>
      </c>
      <c r="C9" t="inlineStr">
        <is>
          <t>Felix Fox</t>
        </is>
      </c>
      <c r="D9" t="inlineStr">
        <is>
          <t>Book A</t>
        </is>
      </c>
      <c r="E9" t="inlineStr">
        <is>
          <t>Felix Fox</t>
        </is>
      </c>
      <c r="F9" t="inlineStr">
        <is>
          <t>Bruno Blake</t>
        </is>
      </c>
      <c r="G9" t="inlineStr">
        <is>
          <t>fighter_b</t>
        </is>
      </c>
      <c r="H9" t="n">
        <v>-140</v>
      </c>
      <c r="I9" s="6" t="n">
        <v>1.714285714285714</v>
      </c>
      <c r="J9" s="4" t="n">
        <v>0.53</v>
      </c>
      <c r="K9" s="4" t="n">
        <v>0.5833333333333333</v>
      </c>
      <c r="L9" s="4" t="n">
        <v>-0.05333333333333323</v>
      </c>
      <c r="M9" s="4" t="n">
        <v>-0.0914285714285713</v>
      </c>
      <c r="N9" s="5" t="n">
        <v>-9.14285714285713</v>
      </c>
      <c r="O9" s="4" t="n">
        <v>0</v>
      </c>
      <c r="P9" s="4" t="n">
        <v>0</v>
      </c>
      <c r="Q9" s="5" t="n">
        <v>0</v>
      </c>
      <c r="R9" s="5" t="n">
        <v>0</v>
      </c>
      <c r="S9" s="5" t="n">
        <v>0</v>
      </c>
      <c r="T9" s="5" t="n">
        <v>0</v>
      </c>
      <c r="V9" s="5" t="n">
        <v>0.8555986089235049</v>
      </c>
      <c r="W9" s="6" t="n">
        <v>-0.1068591866267813</v>
      </c>
      <c r="X9" t="inlineStr">
        <is>
          <t>no_bet</t>
        </is>
      </c>
      <c r="Y9" t="inlineStr">
        <is>
          <t>pass</t>
        </is>
      </c>
      <c r="Z9" t="b">
        <v>0</v>
      </c>
      <c r="AA9" t="b">
        <v>0</v>
      </c>
    </row>
  </sheetData>
  <autoFilter ref="A1:AA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2" customWidth="1" min="5" max="5"/>
    <col width="15" customWidth="1" min="6" max="6"/>
    <col width="20" customWidth="1" min="7" max="7"/>
    <col width="19" customWidth="1" min="8" max="8"/>
    <col width="21" customWidth="1" min="9" max="9"/>
    <col width="24" customWidth="1" min="10" max="10"/>
    <col width="23" customWidth="1" min="11" max="11"/>
    <col width="20" customWidth="1" min="12" max="12"/>
    <col width="20" customWidth="1" min="13" max="13"/>
    <col width="10" customWidth="1" min="14" max="14"/>
    <col width="23" customWidth="1" min="15" max="15"/>
  </cols>
  <sheetData>
    <row r="1">
      <c r="A1" s="3" t="inlineStr">
        <is>
          <t>event_date</t>
        </is>
      </c>
      <c r="B1" s="3" t="inlineStr">
        <is>
          <t>fighter_a</t>
        </is>
      </c>
      <c r="C1" s="3" t="inlineStr">
        <is>
          <t>fighter_b</t>
        </is>
      </c>
      <c r="D1" s="3" t="inlineStr">
        <is>
          <t>fighter</t>
        </is>
      </c>
      <c r="E1" s="3" t="inlineStr">
        <is>
          <t>sportsbook</t>
        </is>
      </c>
      <c r="F1" s="3" t="inlineStr">
        <is>
          <t>american_odds</t>
        </is>
      </c>
      <c r="G1" s="3" t="inlineStr">
        <is>
          <t>decimal_odds</t>
        </is>
      </c>
      <c r="H1" s="3" t="inlineStr">
        <is>
          <t>model_probability</t>
        </is>
      </c>
      <c r="I1" s="3" t="inlineStr">
        <is>
          <t>implied_probability</t>
        </is>
      </c>
      <c r="J1" s="3" t="inlineStr">
        <is>
          <t>edge</t>
        </is>
      </c>
      <c r="K1" s="3" t="inlineStr">
        <is>
          <t>expected_roi</t>
        </is>
      </c>
      <c r="L1" s="3" t="inlineStr">
        <is>
          <t>recommended_stake</t>
        </is>
      </c>
      <c r="M1" s="3" t="inlineStr">
        <is>
          <t>potential_profit</t>
        </is>
      </c>
      <c r="N1" s="3" t="inlineStr">
        <is>
          <t>decision</t>
        </is>
      </c>
      <c r="O1" s="3" t="inlineStr">
        <is>
          <t>risk_label</t>
        </is>
      </c>
    </row>
    <row r="2">
      <c r="A2" t="inlineStr">
        <is>
          <t>2023-12-16</t>
        </is>
      </c>
      <c r="B2" t="inlineStr">
        <is>
          <t>Alpha Adams</t>
        </is>
      </c>
      <c r="C2" t="inlineStr">
        <is>
          <t>Ethan Ellis</t>
        </is>
      </c>
      <c r="D2" t="inlineStr">
        <is>
          <t>Alpha Adams</t>
        </is>
      </c>
      <c r="E2" t="inlineStr">
        <is>
          <t>Book B</t>
        </is>
      </c>
      <c r="F2" t="n">
        <v>105</v>
      </c>
      <c r="G2" s="6" t="n">
        <v>2.05</v>
      </c>
      <c r="H2" s="4" t="n">
        <v>0.58</v>
      </c>
      <c r="I2" s="4" t="n">
        <v>0.4878048780487805</v>
      </c>
      <c r="J2" s="4" t="n">
        <v>0.09219512195121943</v>
      </c>
      <c r="K2" s="4" t="n">
        <v>0.1889999999999998</v>
      </c>
      <c r="L2" s="5" t="n">
        <v>20</v>
      </c>
      <c r="M2" s="5" t="n">
        <v>21</v>
      </c>
      <c r="N2" t="inlineStr">
        <is>
          <t>bet</t>
        </is>
      </c>
      <c r="O2" t="inlineStr">
        <is>
          <t>medium_variance_value</t>
        </is>
      </c>
    </row>
    <row r="3">
      <c r="A3" t="inlineStr">
        <is>
          <t>2023-12-16</t>
        </is>
      </c>
      <c r="B3" t="inlineStr">
        <is>
          <t>Bruno Blake</t>
        </is>
      </c>
      <c r="C3" t="inlineStr">
        <is>
          <t>Felix Fox</t>
        </is>
      </c>
      <c r="D3" t="inlineStr">
        <is>
          <t>Bruno Blake</t>
        </is>
      </c>
      <c r="E3" t="inlineStr">
        <is>
          <t>Book B</t>
        </is>
      </c>
      <c r="F3" t="n">
        <v>130</v>
      </c>
      <c r="G3" s="6" t="n">
        <v>2.3</v>
      </c>
      <c r="H3" s="4" t="n">
        <v>0.47</v>
      </c>
      <c r="I3" s="4" t="n">
        <v>0.4347826086956522</v>
      </c>
      <c r="J3" s="4" t="n">
        <v>0.03521739130434776</v>
      </c>
      <c r="K3" s="4" t="n">
        <v>0.08099999999999996</v>
      </c>
      <c r="L3" s="5" t="n">
        <v>15.57692307692307</v>
      </c>
      <c r="M3" s="5" t="n">
        <v>20.24999999999999</v>
      </c>
      <c r="N3" t="inlineStr">
        <is>
          <t>bet</t>
        </is>
      </c>
      <c r="O3" t="inlineStr">
        <is>
          <t>high_variance_value</t>
        </is>
      </c>
    </row>
    <row r="4">
      <c r="A4" t="inlineStr">
        <is>
          <t>2023-12-16</t>
        </is>
      </c>
      <c r="B4" t="inlineStr">
        <is>
          <t>Bruno Blake</t>
        </is>
      </c>
      <c r="C4" t="inlineStr">
        <is>
          <t>Felix Fox</t>
        </is>
      </c>
      <c r="D4" t="inlineStr">
        <is>
          <t>Felix Fox</t>
        </is>
      </c>
      <c r="E4" t="inlineStr">
        <is>
          <t>Book B</t>
        </is>
      </c>
      <c r="F4" t="n">
        <v>-115</v>
      </c>
      <c r="G4" s="6" t="n">
        <v>1.869565217391304</v>
      </c>
      <c r="H4" s="4" t="n">
        <v>0.53</v>
      </c>
      <c r="I4" s="4" t="n">
        <v>0.5348837209302326</v>
      </c>
      <c r="J4" s="4" t="n">
        <v>-0.004883720930232593</v>
      </c>
      <c r="K4" s="4" t="n">
        <v>-0.009130434782608665</v>
      </c>
      <c r="L4" s="5" t="n">
        <v>0</v>
      </c>
      <c r="M4" s="5" t="n">
        <v>0</v>
      </c>
      <c r="N4" t="inlineStr">
        <is>
          <t>pass</t>
        </is>
      </c>
      <c r="O4" t="inlineStr">
        <is>
          <t>no_bet</t>
        </is>
      </c>
    </row>
    <row r="5">
      <c r="A5" t="inlineStr">
        <is>
          <t>2023-12-16</t>
        </is>
      </c>
      <c r="B5" t="inlineStr">
        <is>
          <t>Alpha Adams</t>
        </is>
      </c>
      <c r="C5" t="inlineStr">
        <is>
          <t>Ethan Ellis</t>
        </is>
      </c>
      <c r="D5" t="inlineStr">
        <is>
          <t>Ethan Ellis</t>
        </is>
      </c>
      <c r="E5" t="inlineStr">
        <is>
          <t>Book A</t>
        </is>
      </c>
      <c r="F5" t="n">
        <v>135</v>
      </c>
      <c r="G5" s="6" t="n">
        <v>2.35</v>
      </c>
      <c r="H5" s="4" t="n">
        <v>0.42</v>
      </c>
      <c r="I5" s="4" t="n">
        <v>0.425531914893617</v>
      </c>
      <c r="J5" s="4" t="n">
        <v>-0.00553191489361704</v>
      </c>
      <c r="K5" s="4" t="n">
        <v>-0.01300000000000001</v>
      </c>
      <c r="L5" s="5" t="n">
        <v>0</v>
      </c>
      <c r="M5" s="5" t="n">
        <v>0</v>
      </c>
      <c r="N5" t="inlineStr">
        <is>
          <t>pass</t>
        </is>
      </c>
      <c r="O5" t="inlineStr">
        <is>
          <t>no_bet</t>
        </is>
      </c>
    </row>
  </sheetData>
  <autoFilter ref="A1:O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A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3" customWidth="1" min="5" max="5"/>
    <col width="13" customWidth="1" min="6" max="6"/>
    <col width="11" customWidth="1" min="7" max="7"/>
    <col width="15" customWidth="1" min="8" max="8"/>
    <col width="14" customWidth="1" min="9" max="9"/>
    <col width="19" customWidth="1" min="10" max="10"/>
    <col width="21" customWidth="1" min="11" max="11"/>
    <col width="22" customWidth="1" min="12" max="12"/>
    <col width="21" customWidth="1" min="13" max="13"/>
    <col width="25" customWidth="1" min="14" max="14"/>
    <col width="22" customWidth="1" min="15" max="15"/>
    <col width="22" customWidth="1" min="16" max="16"/>
    <col width="20" customWidth="1" min="17" max="17"/>
    <col width="20" customWidth="1" min="18" max="18"/>
    <col width="21" customWidth="1" min="19" max="19"/>
    <col width="20" customWidth="1" min="20" max="20"/>
    <col width="20" customWidth="1" min="21" max="21"/>
    <col width="25" customWidth="1" min="22" max="22"/>
    <col width="21" customWidth="1" min="23" max="23"/>
    <col width="23" customWidth="1" min="24" max="24"/>
    <col width="10" customWidth="1" min="25" max="25"/>
    <col width="28" customWidth="1" min="26" max="26"/>
    <col width="33" customWidth="1" min="27" max="27"/>
  </cols>
  <sheetData>
    <row r="1">
      <c r="A1" s="3" t="inlineStr">
        <is>
          <t>event_date</t>
        </is>
      </c>
      <c r="B1" s="3" t="inlineStr">
        <is>
          <t>fighter_a</t>
        </is>
      </c>
      <c r="C1" s="3" t="inlineStr">
        <is>
          <t>fighter_b</t>
        </is>
      </c>
      <c r="D1" s="3" t="inlineStr">
        <is>
          <t>sportsbook</t>
        </is>
      </c>
      <c r="E1" s="3" t="inlineStr">
        <is>
          <t>fighter</t>
        </is>
      </c>
      <c r="F1" s="3" t="inlineStr">
        <is>
          <t>opponent</t>
        </is>
      </c>
      <c r="G1" s="3" t="inlineStr">
        <is>
          <t>side</t>
        </is>
      </c>
      <c r="H1" s="3" t="inlineStr">
        <is>
          <t>american_odds</t>
        </is>
      </c>
      <c r="I1" s="3" t="inlineStr">
        <is>
          <t>decimal_odds</t>
        </is>
      </c>
      <c r="J1" s="3" t="inlineStr">
        <is>
          <t>model_probability</t>
        </is>
      </c>
      <c r="K1" s="3" t="inlineStr">
        <is>
          <t>implied_probability</t>
        </is>
      </c>
      <c r="L1" s="3" t="inlineStr">
        <is>
          <t>edge</t>
        </is>
      </c>
      <c r="M1" s="3" t="inlineStr">
        <is>
          <t>expected_roi</t>
        </is>
      </c>
      <c r="N1" s="3" t="inlineStr">
        <is>
          <t>expected_profit_per_100</t>
        </is>
      </c>
      <c r="O1" s="3" t="inlineStr">
        <is>
          <t>full_kelly_fraction</t>
        </is>
      </c>
      <c r="P1" s="3" t="inlineStr">
        <is>
          <t>recommended_fraction</t>
        </is>
      </c>
      <c r="Q1" s="3" t="inlineStr">
        <is>
          <t>recommended_stake</t>
        </is>
      </c>
      <c r="R1" s="3" t="inlineStr">
        <is>
          <t>potential_profit</t>
        </is>
      </c>
      <c r="S1" s="3" t="inlineStr">
        <is>
          <t>total_payout_if_win</t>
        </is>
      </c>
      <c r="T1" s="3" t="inlineStr">
        <is>
          <t>max_loss</t>
        </is>
      </c>
      <c r="U1" s="3" t="inlineStr">
        <is>
          <t>risk_reward_ratio</t>
        </is>
      </c>
      <c r="V1" s="3" t="inlineStr">
        <is>
          <t>profit_volatility_per_1</t>
        </is>
      </c>
      <c r="W1" s="3" t="inlineStr">
        <is>
          <t>risk_adjusted_score</t>
        </is>
      </c>
      <c r="X1" s="3" t="inlineStr">
        <is>
          <t>risk_label</t>
        </is>
      </c>
      <c r="Y1" s="3" t="inlineStr">
        <is>
          <t>decision</t>
        </is>
      </c>
      <c r="Z1" s="3" t="inlineStr">
        <is>
          <t>best_available_for_fighter</t>
        </is>
      </c>
      <c r="AA1" s="3" t="inlineStr">
        <is>
          <t>best_recommendation_for_matchup</t>
        </is>
      </c>
    </row>
    <row r="2">
      <c r="A2" t="inlineStr">
        <is>
          <t>2023-12-16</t>
        </is>
      </c>
      <c r="B2" t="inlineStr">
        <is>
          <t>Alpha Adams</t>
        </is>
      </c>
      <c r="C2" t="inlineStr">
        <is>
          <t>Ethan Ellis</t>
        </is>
      </c>
      <c r="D2" t="inlineStr">
        <is>
          <t>Book B</t>
        </is>
      </c>
      <c r="E2" t="inlineStr">
        <is>
          <t>Alpha Adams</t>
        </is>
      </c>
      <c r="F2" t="inlineStr">
        <is>
          <t>Ethan Ellis</t>
        </is>
      </c>
      <c r="G2" t="inlineStr">
        <is>
          <t>fighter_a</t>
        </is>
      </c>
      <c r="H2" t="n">
        <v>105</v>
      </c>
      <c r="I2" s="6" t="n">
        <v>2.05</v>
      </c>
      <c r="J2" s="4" t="n">
        <v>0.58</v>
      </c>
      <c r="K2" s="4" t="n">
        <v>0.4878048780487805</v>
      </c>
      <c r="L2" s="4" t="n">
        <v>0.09219512195121943</v>
      </c>
      <c r="M2" s="4" t="n">
        <v>0.1889999999999998</v>
      </c>
      <c r="N2" s="5" t="n">
        <v>18.89999999999998</v>
      </c>
      <c r="O2" s="4" t="n">
        <v>0.1799999999999999</v>
      </c>
      <c r="P2" s="4" t="n">
        <v>0.02</v>
      </c>
      <c r="Q2" s="5" t="n">
        <v>20</v>
      </c>
      <c r="R2" s="5" t="n">
        <v>21</v>
      </c>
      <c r="S2" s="5" t="n">
        <v>41</v>
      </c>
      <c r="T2" s="5" t="n">
        <v>20</v>
      </c>
      <c r="U2" t="n">
        <v>0.9523809523809526</v>
      </c>
      <c r="V2" s="5" t="n">
        <v>1.011794939698751</v>
      </c>
      <c r="W2" s="6" t="n">
        <v>0.18679674367246</v>
      </c>
      <c r="X2" t="inlineStr">
        <is>
          <t>medium_variance_value</t>
        </is>
      </c>
      <c r="Y2" t="inlineStr">
        <is>
          <t>bet</t>
        </is>
      </c>
      <c r="Z2" t="b">
        <v>1</v>
      </c>
      <c r="AA2" t="b">
        <v>1</v>
      </c>
    </row>
    <row r="3">
      <c r="A3" t="inlineStr">
        <is>
          <t>2023-12-16</t>
        </is>
      </c>
      <c r="B3" t="inlineStr">
        <is>
          <t>Bruno Blake</t>
        </is>
      </c>
      <c r="C3" t="inlineStr">
        <is>
          <t>Felix Fox</t>
        </is>
      </c>
      <c r="D3" t="inlineStr">
        <is>
          <t>Book B</t>
        </is>
      </c>
      <c r="E3" t="inlineStr">
        <is>
          <t>Bruno Blake</t>
        </is>
      </c>
      <c r="F3" t="inlineStr">
        <is>
          <t>Felix Fox</t>
        </is>
      </c>
      <c r="G3" t="inlineStr">
        <is>
          <t>fighter_a</t>
        </is>
      </c>
      <c r="H3" t="n">
        <v>130</v>
      </c>
      <c r="I3" s="6" t="n">
        <v>2.3</v>
      </c>
      <c r="J3" s="4" t="n">
        <v>0.47</v>
      </c>
      <c r="K3" s="4" t="n">
        <v>0.4347826086956522</v>
      </c>
      <c r="L3" s="4" t="n">
        <v>0.03521739130434776</v>
      </c>
      <c r="M3" s="4" t="n">
        <v>0.08099999999999996</v>
      </c>
      <c r="N3" s="5" t="n">
        <v>8.099999999999996</v>
      </c>
      <c r="O3" s="4" t="n">
        <v>0.06230769230769229</v>
      </c>
      <c r="P3" s="4" t="n">
        <v>0.01557692307692307</v>
      </c>
      <c r="Q3" s="5" t="n">
        <v>15.57692307692307</v>
      </c>
      <c r="R3" s="5" t="n">
        <v>20.24999999999999</v>
      </c>
      <c r="S3" s="5" t="n">
        <v>35.82692307692306</v>
      </c>
      <c r="T3" s="5" t="n">
        <v>15.57692307692307</v>
      </c>
      <c r="U3" t="n">
        <v>0.7692307692307694</v>
      </c>
      <c r="V3" s="5" t="n">
        <v>1.147928133639036</v>
      </c>
      <c r="W3" s="6" t="n">
        <v>0.07056190856061927</v>
      </c>
      <c r="X3" t="inlineStr">
        <is>
          <t>high_variance_value</t>
        </is>
      </c>
      <c r="Y3" t="inlineStr">
        <is>
          <t>bet</t>
        </is>
      </c>
      <c r="Z3" t="b">
        <v>1</v>
      </c>
      <c r="AA3" t="b">
        <v>1</v>
      </c>
    </row>
  </sheetData>
  <autoFilter ref="A1:AA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4" customWidth="1" min="4" max="4"/>
    <col width="8" customWidth="1" min="5" max="5"/>
    <col width="18" customWidth="1" min="6" max="6"/>
    <col width="13" customWidth="1" min="7" max="7"/>
    <col width="20" customWidth="1" min="8" max="8"/>
    <col width="16" customWidth="1" min="9" max="9"/>
    <col width="16" customWidth="1" min="10" max="10"/>
    <col width="13" customWidth="1" min="11" max="11"/>
    <col width="19" customWidth="1" min="12" max="12"/>
    <col width="15" customWidth="1" min="13" max="13"/>
  </cols>
  <sheetData>
    <row r="1">
      <c r="A1" s="3" t="inlineStr">
        <is>
          <t>event_date</t>
        </is>
      </c>
      <c r="B1" s="3" t="inlineStr">
        <is>
          <t>fighter_a</t>
        </is>
      </c>
      <c r="C1" s="3" t="inlineStr">
        <is>
          <t>fighter_b</t>
        </is>
      </c>
      <c r="D1" s="3" t="inlineStr">
        <is>
          <t>weight_class</t>
        </is>
      </c>
      <c r="E1" s="3" t="inlineStr">
        <is>
          <t>gender</t>
        </is>
      </c>
      <c r="F1" s="3" t="inlineStr">
        <is>
          <t>scheduled_rounds</t>
        </is>
      </c>
      <c r="G1" s="3" t="inlineStr">
        <is>
          <t>title_fight</t>
        </is>
      </c>
      <c r="H1" s="3" t="inlineStr">
        <is>
          <t>data_quality_flags</t>
        </is>
      </c>
      <c r="I1" s="3" t="inlineStr">
        <is>
          <t>prob_fighter_a</t>
        </is>
      </c>
      <c r="J1" s="3" t="inlineStr">
        <is>
          <t>prob_fighter_b</t>
        </is>
      </c>
      <c r="K1" s="3" t="inlineStr">
        <is>
          <t>pick</t>
        </is>
      </c>
      <c r="L1" s="3" t="inlineStr">
        <is>
          <t>confidence_bucket</t>
        </is>
      </c>
      <c r="M1" s="3" t="inlineStr">
        <is>
          <t>model_version</t>
        </is>
      </c>
    </row>
    <row r="2">
      <c r="A2" t="inlineStr">
        <is>
          <t>2023-12-16</t>
        </is>
      </c>
      <c r="B2" t="inlineStr">
        <is>
          <t>Alpha Adams</t>
        </is>
      </c>
      <c r="C2" t="inlineStr">
        <is>
          <t>Ethan Ellis</t>
        </is>
      </c>
      <c r="D2" t="inlineStr">
        <is>
          <t>Welterweight</t>
        </is>
      </c>
      <c r="E2" t="inlineStr">
        <is>
          <t>M</t>
        </is>
      </c>
      <c r="F2" t="n">
        <v>5</v>
      </c>
      <c r="G2" t="b">
        <v>1</v>
      </c>
      <c r="I2" t="n">
        <v>0.58</v>
      </c>
      <c r="J2" t="n">
        <v>0.42</v>
      </c>
      <c r="K2" t="inlineStr">
        <is>
          <t>Alpha Adams</t>
        </is>
      </c>
      <c r="L2" s="4" t="inlineStr">
        <is>
          <t>low</t>
        </is>
      </c>
      <c r="M2" t="inlineStr">
        <is>
          <t>test_model</t>
        </is>
      </c>
    </row>
    <row r="3">
      <c r="A3" t="inlineStr">
        <is>
          <t>2023-12-16</t>
        </is>
      </c>
      <c r="B3" t="inlineStr">
        <is>
          <t>Bruno Blake</t>
        </is>
      </c>
      <c r="C3" t="inlineStr">
        <is>
          <t>Felix Fox</t>
        </is>
      </c>
      <c r="D3" t="inlineStr">
        <is>
          <t>Welterweight</t>
        </is>
      </c>
      <c r="E3" t="inlineStr">
        <is>
          <t>M</t>
        </is>
      </c>
      <c r="F3" t="n">
        <v>3</v>
      </c>
      <c r="G3" t="b">
        <v>0</v>
      </c>
      <c r="I3" t="n">
        <v>0.47</v>
      </c>
      <c r="J3" t="n">
        <v>0.53</v>
      </c>
      <c r="K3" t="inlineStr">
        <is>
          <t>Felix Fox</t>
        </is>
      </c>
      <c r="L3" s="4" t="inlineStr">
        <is>
          <t>low</t>
        </is>
      </c>
      <c r="M3" t="inlineStr">
        <is>
          <t>test_model</t>
        </is>
      </c>
    </row>
  </sheetData>
  <autoFilter ref="A1:M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2" customWidth="1" min="4" max="4"/>
    <col width="13" customWidth="1" min="5" max="5"/>
    <col width="15" customWidth="1" min="6" max="6"/>
  </cols>
  <sheetData>
    <row r="1">
      <c r="A1" s="3" t="inlineStr">
        <is>
          <t>event_date</t>
        </is>
      </c>
      <c r="B1" s="3" t="inlineStr">
        <is>
          <t>fighter_a</t>
        </is>
      </c>
      <c r="C1" s="3" t="inlineStr">
        <is>
          <t>fighter_b</t>
        </is>
      </c>
      <c r="D1" s="3" t="inlineStr">
        <is>
          <t>sportsbook</t>
        </is>
      </c>
      <c r="E1" s="3" t="inlineStr">
        <is>
          <t>fighter</t>
        </is>
      </c>
      <c r="F1" s="3" t="inlineStr">
        <is>
          <t>american_odds</t>
        </is>
      </c>
    </row>
    <row r="2">
      <c r="A2" t="inlineStr">
        <is>
          <t>2023-12-16</t>
        </is>
      </c>
      <c r="B2" t="inlineStr">
        <is>
          <t>Alpha Adams</t>
        </is>
      </c>
      <c r="C2" t="inlineStr">
        <is>
          <t>Ethan Ellis</t>
        </is>
      </c>
      <c r="D2" t="inlineStr">
        <is>
          <t>Book A</t>
        </is>
      </c>
      <c r="E2" t="inlineStr">
        <is>
          <t>Alpha Adams</t>
        </is>
      </c>
      <c r="F2" t="n">
        <v>-125</v>
      </c>
    </row>
    <row r="3">
      <c r="A3" t="inlineStr">
        <is>
          <t>2023-12-16</t>
        </is>
      </c>
      <c r="B3" t="inlineStr">
        <is>
          <t>Alpha Adams</t>
        </is>
      </c>
      <c r="C3" t="inlineStr">
        <is>
          <t>Ethan Ellis</t>
        </is>
      </c>
      <c r="D3" t="inlineStr">
        <is>
          <t>Book B</t>
        </is>
      </c>
      <c r="E3" t="inlineStr">
        <is>
          <t>Alpha Adams</t>
        </is>
      </c>
      <c r="F3" t="n">
        <v>105</v>
      </c>
    </row>
    <row r="4">
      <c r="A4" t="inlineStr">
        <is>
          <t>2023-12-16</t>
        </is>
      </c>
      <c r="B4" t="inlineStr">
        <is>
          <t>Alpha Adams</t>
        </is>
      </c>
      <c r="C4" t="inlineStr">
        <is>
          <t>Ethan Ellis</t>
        </is>
      </c>
      <c r="D4" t="inlineStr">
        <is>
          <t>Book A</t>
        </is>
      </c>
      <c r="E4" t="inlineStr">
        <is>
          <t>Ethan Ellis</t>
        </is>
      </c>
      <c r="F4" t="n">
        <v>135</v>
      </c>
    </row>
    <row r="5">
      <c r="A5" t="inlineStr">
        <is>
          <t>2023-12-16</t>
        </is>
      </c>
      <c r="B5" t="inlineStr">
        <is>
          <t>Alpha Adams</t>
        </is>
      </c>
      <c r="C5" t="inlineStr">
        <is>
          <t>Ethan Ellis</t>
        </is>
      </c>
      <c r="D5" t="inlineStr">
        <is>
          <t>Book B</t>
        </is>
      </c>
      <c r="E5" t="inlineStr">
        <is>
          <t>Ethan Ellis</t>
        </is>
      </c>
      <c r="F5" t="n">
        <v>125</v>
      </c>
    </row>
    <row r="6">
      <c r="A6" t="inlineStr">
        <is>
          <t>2023-12-16</t>
        </is>
      </c>
      <c r="B6" t="inlineStr">
        <is>
          <t>Bruno Blake</t>
        </is>
      </c>
      <c r="C6" t="inlineStr">
        <is>
          <t>Felix Fox</t>
        </is>
      </c>
      <c r="D6" t="inlineStr">
        <is>
          <t>Book A</t>
        </is>
      </c>
      <c r="E6" t="inlineStr">
        <is>
          <t>Bruno Blake</t>
        </is>
      </c>
      <c r="F6" t="n">
        <v>115</v>
      </c>
    </row>
    <row r="7">
      <c r="A7" t="inlineStr">
        <is>
          <t>2023-12-16</t>
        </is>
      </c>
      <c r="B7" t="inlineStr">
        <is>
          <t>Bruno Blake</t>
        </is>
      </c>
      <c r="C7" t="inlineStr">
        <is>
          <t>Felix Fox</t>
        </is>
      </c>
      <c r="D7" t="inlineStr">
        <is>
          <t>Book B</t>
        </is>
      </c>
      <c r="E7" t="inlineStr">
        <is>
          <t>Bruno Blake</t>
        </is>
      </c>
      <c r="F7" t="n">
        <v>130</v>
      </c>
    </row>
    <row r="8">
      <c r="A8" t="inlineStr">
        <is>
          <t>2023-12-16</t>
        </is>
      </c>
      <c r="B8" t="inlineStr">
        <is>
          <t>Bruno Blake</t>
        </is>
      </c>
      <c r="C8" t="inlineStr">
        <is>
          <t>Felix Fox</t>
        </is>
      </c>
      <c r="D8" t="inlineStr">
        <is>
          <t>Book A</t>
        </is>
      </c>
      <c r="E8" t="inlineStr">
        <is>
          <t>Felix Fox</t>
        </is>
      </c>
      <c r="F8" t="n">
        <v>-140</v>
      </c>
    </row>
    <row r="9">
      <c r="A9" t="inlineStr">
        <is>
          <t>2023-12-16</t>
        </is>
      </c>
      <c r="B9" t="inlineStr">
        <is>
          <t>Bruno Blake</t>
        </is>
      </c>
      <c r="C9" t="inlineStr">
        <is>
          <t>Felix Fox</t>
        </is>
      </c>
      <c r="D9" t="inlineStr">
        <is>
          <t>Book B</t>
        </is>
      </c>
      <c r="E9" t="inlineStr">
        <is>
          <t>Felix Fox</t>
        </is>
      </c>
      <c r="F9" t="n">
        <v>-115</v>
      </c>
    </row>
  </sheetData>
  <autoFilter ref="A1:F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fight</t>
        </is>
      </c>
      <c r="B1" s="7" t="inlineStr">
        <is>
          <t>confidence_stake</t>
        </is>
      </c>
      <c r="C1" s="7" t="inlineStr">
        <is>
          <t>expected_profit</t>
        </is>
      </c>
      <c r="D1" s="7" t="inlineStr">
        <is>
          <t>edge</t>
        </is>
      </c>
      <c r="E1" s="7" t="inlineStr">
        <is>
          <t>confidence</t>
        </is>
      </c>
    </row>
    <row r="2">
      <c r="A2" t="inlineStr">
        <is>
          <t>Alpha Adams vs. Ethan Ellis</t>
        </is>
      </c>
      <c r="B2" t="n">
        <v>15.99999999999999</v>
      </c>
      <c r="C2" t="n">
        <v>3.023999999999996</v>
      </c>
      <c r="D2" t="n">
        <v>0.09219512195121943</v>
      </c>
      <c r="E2" t="n">
        <v>0.1599999999999999</v>
      </c>
    </row>
    <row r="3">
      <c r="A3" t="inlineStr">
        <is>
          <t>Bruno Blake vs. Felix Fox</t>
        </is>
      </c>
      <c r="B3" t="n">
        <v>6.000000000000005</v>
      </c>
      <c r="C3" t="n">
        <v>-0.05478260869565204</v>
      </c>
      <c r="D3" t="n">
        <v>-0.004883720930232593</v>
      </c>
      <c r="E3" t="n">
        <v>0.06000000000000005</v>
      </c>
    </row>
    <row r="6">
      <c r="A6" s="7" t="inlineStr">
        <is>
          <t>line</t>
        </is>
      </c>
      <c r="B6" s="7" t="inlineStr">
        <is>
          <t>expected_roi</t>
        </is>
      </c>
      <c r="C6" s="7" t="inlineStr">
        <is>
          <t>recommended_stake</t>
        </is>
      </c>
      <c r="D6" s="7" t="inlineStr">
        <is>
          <t>risk_adjusted_score</t>
        </is>
      </c>
      <c r="E6" s="7" t="n"/>
    </row>
    <row r="7">
      <c r="A7" t="inlineStr">
        <is>
          <t>Alpha Adams Book B</t>
        </is>
      </c>
      <c r="B7" t="n">
        <v>0.1889999999999998</v>
      </c>
      <c r="C7" t="n">
        <v>20</v>
      </c>
      <c r="D7" t="n">
        <v>0.18679674367246</v>
      </c>
    </row>
    <row r="8">
      <c r="A8" t="inlineStr">
        <is>
          <t>Bruno Blake Book B</t>
        </is>
      </c>
      <c r="B8" t="n">
        <v>0.08099999999999996</v>
      </c>
      <c r="C8" t="n">
        <v>15.57692307692307</v>
      </c>
      <c r="D8" t="n">
        <v>0.07056190856061927</v>
      </c>
    </row>
    <row r="9">
      <c r="A9" t="inlineStr">
        <is>
          <t>Alpha Adams Book A</t>
        </is>
      </c>
      <c r="B9" t="n">
        <v>0.04400000000000004</v>
      </c>
      <c r="C9" t="n">
        <v>13.75000000000001</v>
      </c>
      <c r="D9" t="n">
        <v>0.04952694379557886</v>
      </c>
    </row>
    <row r="13">
      <c r="A13" s="7" t="inlineStr">
        <is>
          <t>risk_label</t>
        </is>
      </c>
      <c r="B13" s="7" t="inlineStr">
        <is>
          <t>lines</t>
        </is>
      </c>
      <c r="C13" s="7" t="n"/>
      <c r="D13" s="7" t="n"/>
      <c r="E13" s="7" t="n"/>
    </row>
    <row r="14">
      <c r="A14" t="inlineStr">
        <is>
          <t>no_bet</t>
        </is>
      </c>
      <c r="B14" t="n">
        <v>5</v>
      </c>
    </row>
    <row r="15">
      <c r="A15" t="inlineStr">
        <is>
          <t>medium_variance_value</t>
        </is>
      </c>
      <c r="B15" t="n">
        <v>2</v>
      </c>
    </row>
    <row r="16">
      <c r="A16" t="inlineStr">
        <is>
          <t>high_variance_value</t>
        </is>
      </c>
      <c r="B16" t="n">
        <v>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sheetData>
    <row r="1">
      <c r="A1" s="1" t="inlineStr">
        <is>
          <t>Betting Report Charts</t>
        </is>
      </c>
    </row>
    <row r="2">
      <c r="A2" t="inlineStr">
        <is>
          <t>Charts use the supplied sportsbook lines and model probabilities. They are analytics only, not betting advice.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2026-07-09T03:55:41Z</dcterms:created>
  <dcterms:modified xsi:type="dcterms:W3CDTF">2026-07-09T03:55:41Z</dcterms:modified>
</cp:coreProperties>
</file>